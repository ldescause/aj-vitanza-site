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ventory" sheetId="2" state="visible" r:id="rId4"/>
    <sheet name="Break-even" sheetId="3" state="visible" r:id="rId5"/>
    <sheet name="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<sst xmlns="http://schemas.openxmlformats.org/spreadsheetml/2006/main" count="107" uniqueCount="97">
  <si>
    <t xml:space="preserve">AJ VITANZA DEBUT TEE — DROP ECONOMICS</t>
  </si>
  <si>
    <t xml:space="preserve">Every blue cell is an input you can change. Black cells are formulas — do not type over them.</t>
  </si>
  <si>
    <t xml:space="preserve">WHAT WAS SPENT</t>
  </si>
  <si>
    <t xml:space="preserve">Total already paid by AJ (design, sample, production)</t>
  </si>
  <si>
    <t xml:space="preserve">From Louis. Covers designs, sample and the full print run. Sunk — already spent.</t>
  </si>
  <si>
    <t xml:space="preserve">Total shirts printed</t>
  </si>
  <si>
    <t xml:space="preserve">Pulled from the Inventory tab so the two can never disagree.</t>
  </si>
  <si>
    <t xml:space="preserve">Cost per shirt</t>
  </si>
  <si>
    <t xml:space="preserve">Total spend spread across the run. Bookkeeping only — the money is already gone.</t>
  </si>
  <si>
    <t xml:space="preserve">WHAT YOU CHARGE</t>
  </si>
  <si>
    <t xml:space="preserve">Shirt price</t>
  </si>
  <si>
    <t xml:space="preserve">Same price online and at the merch table.</t>
  </si>
  <si>
    <t xml:space="preserve">Shipping charged (US)</t>
  </si>
  <si>
    <t xml:space="preserve">The US Standard rate set on all five Stripe payment links.</t>
  </si>
  <si>
    <t xml:space="preserve">WHAT EACH ONLINE ORDER ACTUALLY COSTS YOU</t>
  </si>
  <si>
    <t xml:space="preserve">Stripe % fee</t>
  </si>
  <si>
    <t xml:space="preserve">Stripe's standard US online card rate. Applies to shipping too, not just the shirt.</t>
  </si>
  <si>
    <t xml:space="preserve">Stripe fixed fee per order</t>
  </si>
  <si>
    <t xml:space="preserve">Charged once per transaction regardless of order size.</t>
  </si>
  <si>
    <t xml:space="preserve">Actual postage you pay (US)</t>
  </si>
  <si>
    <t xml:space="preserve">ESTIMATE — USPS Ground Advantage, sub-1lb parcel. Replace with your real label cost once you print a few.</t>
  </si>
  <si>
    <t xml:space="preserve">Packaging per order (mailer + label)</t>
  </si>
  <si>
    <t xml:space="preserve">ESTIMATE. Replace with the real per-bag cost from the shipment bags arriving tomorrow.</t>
  </si>
  <si>
    <t xml:space="preserve">WHAT EACH SHOW SALE COSTS YOU</t>
  </si>
  <si>
    <t xml:space="preserve">Share of show sales taken by card (vs cash)</t>
  </si>
  <si>
    <t xml:space="preserve">Guess. 0% = all cash, 100% = all card. Cash keeps the full $50.</t>
  </si>
  <si>
    <t xml:space="preserve">Stripe in-person % fee</t>
  </si>
  <si>
    <t xml:space="preserve">Tap to Pay / Terminal rate. Lower than online because the card is present.</t>
  </si>
  <si>
    <t xml:space="preserve">Stripe in-person fixed fee</t>
  </si>
  <si>
    <t xml:space="preserve">Per in-person transaction.</t>
  </si>
  <si>
    <t xml:space="preserve">NET PER SHIRT — THE NUMBERS THAT MATTER</t>
  </si>
  <si>
    <t xml:space="preserve">Net per ONLINE order (after fees, postage, packaging)</t>
  </si>
  <si>
    <t xml:space="preserve">Customer pays shirt + shipping. Subtract Stripe fee on the whole charge, then your real postage and packaging.</t>
  </si>
  <si>
    <t xml:space="preserve">Net per SHOW sale (blended cash/card)</t>
  </si>
  <si>
    <t xml:space="preserve">No shipping, no packaging. Only the card share pays a fee.</t>
  </si>
  <si>
    <t xml:space="preserve">Note on international orders</t>
  </si>
  <si>
    <t xml:space="preserve">International is priced at $35 shipping against roughly $19-$40 of real postage depending on destination. Treat it as break-even at best. This model assumes US orders only — if a lot of international comes in, lower the "Actual postage" input to see the damage.</t>
  </si>
  <si>
    <t xml:space="preserve">HOW TO READ THIS WORKBOOK</t>
  </si>
  <si>
    <t xml:space="preserve">Blue text  = you type here</t>
  </si>
  <si>
    <t xml:space="preserve">Yellow fill = assumption worth checking against reality</t>
  </si>
  <si>
    <t xml:space="preserve">Black text = a formula. Leave it alone.</t>
  </si>
  <si>
    <t xml:space="preserve">Green text = pulled from another tab.</t>
  </si>
  <si>
    <t xml:space="preserve">Day to day, you only touch the Tracker tab.</t>
  </si>
  <si>
    <t xml:space="preserve">INVENTORY &amp; PRESALE ALLOCATION</t>
  </si>
  <si>
    <t xml:space="preserve">Blue = counted in the garage and typed into Stripe. Keep column D matching the payment caps on the five links.</t>
  </si>
  <si>
    <t xml:space="preserve">Size</t>
  </si>
  <si>
    <t xml:space="preserve">In stock</t>
  </si>
  <si>
    <t xml:space="preserve">Presale cap</t>
  </si>
  <si>
    <t xml:space="preserve">Held for show</t>
  </si>
  <si>
    <t xml:space="preserve">Presale value</t>
  </si>
  <si>
    <t xml:space="preserve">Show value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</si>
  <si>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</si>
  <si>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</si>
  <si>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</si>
  <si>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</si>
  <si>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</si>
  <si>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TOTAL</t>
  </si>
  <si>
    <t xml:space="preserve">Presale caps must sum to 50 — that is what the website counter says.</t>
  </si>
  <si>
    <t xml:space="preserve">XS (10 units) and XL (14 units) are the thin sizes. A presale cap of 3 each keeps a real reserve for the merch table.</t>
  </si>
  <si>
    <t xml:space="preserve">BREAK-EVEN: HOW MANY SHIRTS TO GET THE $4,800 BACK</t>
  </si>
  <si>
    <t xml:space="preserve">IF EVERY SHIRT SOLD ONLINE</t>
  </si>
  <si>
    <t xml:space="preserve">Net per online order</t>
  </si>
  <si>
    <t xml:space="preserve">Shirts needed to break even</t>
  </si>
  <si>
    <t xml:space="preserve">Worst realistic case — you pay Stripe, postage and packaging on every single unit.</t>
  </si>
  <si>
    <t xml:space="preserve">IF EVERY SHIRT SOLD AT THE SHOW</t>
  </si>
  <si>
    <t xml:space="preserve">Net per show sale</t>
  </si>
  <si>
    <t xml:space="preserve">Best case — no shipping, no packaging, and cash sales pay no fee at all.</t>
  </si>
  <si>
    <t xml:space="preserve">THE ACTUAL PLAN: 50 ONLINE, THE REST AT THE SHOW</t>
  </si>
  <si>
    <t xml:space="preserve">Presale units</t>
  </si>
  <si>
    <t xml:space="preserve">Cash in from a sold-out presale</t>
  </si>
  <si>
    <t xml:space="preserve">Share of the $4,800 that recovers</t>
  </si>
  <si>
    <t xml:space="preserve">Still to recover after the presale</t>
  </si>
  <si>
    <t xml:space="preserve">Show sales needed to finish paying it off</t>
  </si>
  <si>
    <t xml:space="preserve">TOTAL SHIRTS TO BREAK EVEN</t>
  </si>
  <si>
    <t xml:space="preserve">As a share of the whole run</t>
  </si>
  <si>
    <t xml:space="preserve">IF THE WHOLE RUN SELLS</t>
  </si>
  <si>
    <t xml:space="preserve">Presale revenue (net)</t>
  </si>
  <si>
    <t xml:space="preserve">Show revenue (net)</t>
  </si>
  <si>
    <t xml:space="preserve">Total net revenue</t>
  </si>
  <si>
    <t xml:space="preserve">Less what AJ already spent</t>
  </si>
  <si>
    <t xml:space="preserve">PROFIT ON A FULL SELL-THROUGH</t>
  </si>
  <si>
    <t xml:space="preserve">Return on the $4,800</t>
  </si>
  <si>
    <t xml:space="preserve">LIVE SALES TRACKER</t>
  </si>
  <si>
    <t xml:space="preserve">Update the two blue columns as orders come in. Everything else follows.</t>
  </si>
  <si>
    <t xml:space="preserve">Sold online</t>
  </si>
  <si>
    <t xml:space="preserve">Sold at show</t>
  </si>
  <si>
    <t xml:space="preserve">Presale left</t>
  </si>
  <si>
    <t xml:space="preserve">Total sold</t>
  </si>
  <si>
    <t xml:space="preserve">Net cash in</t>
  </si>
  <si>
    <t xml:space="preserve">Recovered so far</t>
  </si>
  <si>
    <t xml:space="preserve">Share of the $4,800 back in the bank.</t>
  </si>
  <si>
    <t xml:space="preserve">Still to recover</t>
  </si>
  <si>
    <t xml:space="preserve">Profit / (loss) so far</t>
  </si>
  <si>
    <t xml:space="preserve">Goes positive the moment you clear break-even.</t>
  </si>
  <si>
    <t xml:space="preserve">Status</t>
  </si>
  <si>
    <t xml:space="preserve">EXAMPLE — delete this row once real orders start</t>
  </si>
  <si>
    <t xml:space="preserve">Nine M sold online, none at the show yet, seven of the presale allocation left.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</si>
</sst>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"/>
    <numFmt numFmtId="167" formatCode="\$#,##0.00;&quot;($&quot;#,##0.00\);\-"/>
    <numFmt numFmtId="168" formatCode="0.0%"/>
    <numFmt numFmtId="169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0" t="s">
        <v>3</v>
      </c>
      <c r="C6" s="4" t="n">
        <v>4800</v>
      </c>
      <c r="D6" s="2" t="s">
        <v>4</v>
      </c>
    </row>
    <row r="7" customFormat="false" ht="15" hidden="false" customHeight="false" outlineLevel="0" collapsed="false">
      <c r="B7" s="0" t="s">
        <v>5</v>
      </c>
      <c r="C7" s="5" t="n">
        <f aca="false">SUM(Inventory!C6:C10)</f>
        <v>194</v>
      </c>
      <c r="D7" s="2" t="s">
        <v>6</v>
      </c>
    </row>
    <row r="8" customFormat="false" ht="15" hidden="false" customHeight="false" outlineLevel="0" collapsed="false">
      <c r="B8" s="0" t="s">
        <v>7</v>
      </c>
      <c r="C8" s="6" t="n">
        <f aca="false">IF(C7=0,0,C6/C7)</f>
        <v>24.7422680412371</v>
      </c>
      <c r="D8" s="2" t="s">
        <v>8</v>
      </c>
    </row>
    <row r="10" customFormat="false" ht="15" hidden="false" customHeight="false" outlineLevel="0" collapsed="false">
      <c r="B10" s="3" t="s">
        <v>9</v>
      </c>
      <c r="C10" s="3"/>
      <c r="D10" s="3"/>
    </row>
    <row r="11" customFormat="false" ht="15" hidden="false" customHeight="false" outlineLevel="0" collapsed="false">
      <c r="B11" s="0" t="s">
        <v>10</v>
      </c>
      <c r="C11" s="4" t="n">
        <v>50</v>
      </c>
      <c r="D11" s="2" t="s">
        <v>11</v>
      </c>
    </row>
    <row r="12" customFormat="false" ht="15" hidden="false" customHeight="false" outlineLevel="0" collapsed="false">
      <c r="B12" s="0" t="s">
        <v>12</v>
      </c>
      <c r="C12" s="7" t="n">
        <v>6</v>
      </c>
      <c r="D12" s="2" t="s">
        <v>13</v>
      </c>
    </row>
    <row r="14" customFormat="false" ht="15" hidden="false" customHeight="false" outlineLevel="0" collapsed="false">
      <c r="B14" s="3" t="s">
        <v>14</v>
      </c>
      <c r="C14" s="3"/>
      <c r="D14" s="3"/>
    </row>
    <row r="15" customFormat="false" ht="15" hidden="false" customHeight="false" outlineLevel="0" collapsed="false">
      <c r="B15" s="0" t="s">
        <v>15</v>
      </c>
      <c r="C15" s="8" t="n">
        <v>0.029</v>
      </c>
      <c r="D15" s="2" t="s">
        <v>16</v>
      </c>
    </row>
    <row r="16" customFormat="false" ht="15" hidden="false" customHeight="false" outlineLevel="0" collapsed="false">
      <c r="B16" s="0" t="s">
        <v>17</v>
      </c>
      <c r="C16" s="9" t="n">
        <v>0.3</v>
      </c>
      <c r="D16" s="2" t="s">
        <v>18</v>
      </c>
    </row>
    <row r="17" customFormat="false" ht="15" hidden="false" customHeight="false" outlineLevel="0" collapsed="false">
      <c r="B17" s="0" t="s">
        <v>19</v>
      </c>
      <c r="C17" s="10" t="n">
        <v>6</v>
      </c>
      <c r="D17" s="2" t="s">
        <v>20</v>
      </c>
    </row>
    <row r="18" customFormat="false" ht="15" hidden="false" customHeight="false" outlineLevel="0" collapsed="false">
      <c r="B18" s="0" t="s">
        <v>21</v>
      </c>
      <c r="C18" s="10" t="n">
        <v>0.5</v>
      </c>
      <c r="D18" s="2" t="s">
        <v>22</v>
      </c>
    </row>
    <row r="20" customFormat="false" ht="15" hidden="false" customHeight="false" outlineLevel="0" collapsed="false">
      <c r="B20" s="3" t="s">
        <v>23</v>
      </c>
      <c r="C20" s="3"/>
      <c r="D20" s="3"/>
    </row>
    <row r="21" customFormat="false" ht="15" hidden="false" customHeight="false" outlineLevel="0" collapsed="false">
      <c r="B21" s="0" t="s">
        <v>24</v>
      </c>
      <c r="C21" s="11" t="n">
        <v>0.5</v>
      </c>
      <c r="D21" s="2" t="s">
        <v>25</v>
      </c>
    </row>
    <row r="22" customFormat="false" ht="15" hidden="false" customHeight="false" outlineLevel="0" collapsed="false">
      <c r="B22" s="0" t="s">
        <v>26</v>
      </c>
      <c r="C22" s="8" t="n">
        <v>0.027</v>
      </c>
      <c r="D22" s="2" t="s">
        <v>27</v>
      </c>
    </row>
    <row r="23" customFormat="false" ht="15" hidden="false" customHeight="false" outlineLevel="0" collapsed="false">
      <c r="B23" s="0" t="s">
        <v>28</v>
      </c>
      <c r="C23" s="9" t="n">
        <v>0.05</v>
      </c>
      <c r="D23" s="2" t="s">
        <v>29</v>
      </c>
    </row>
    <row r="25" customFormat="false" ht="15" hidden="false" customHeight="false" outlineLevel="0" collapsed="false">
      <c r="B25" s="3" t="s">
        <v>30</v>
      </c>
      <c r="C25" s="3"/>
      <c r="D25" s="3"/>
    </row>
    <row r="26" customFormat="false" ht="15" hidden="false" customHeight="false" outlineLevel="0" collapsed="false">
      <c r="B26" s="0" t="s">
        <v>31</v>
      </c>
      <c r="C26" s="12" t="n">
        <f aca="false">(C11+C12)-((C11+C12)*C15+C16)-C17-C18</f>
        <v>47.576</v>
      </c>
      <c r="D26" s="2" t="s">
        <v>32</v>
      </c>
    </row>
    <row r="27" customFormat="false" ht="15" hidden="false" customHeight="false" outlineLevel="0" collapsed="false">
      <c r="B27" s="0" t="s">
        <v>33</v>
      </c>
      <c r="C27" s="12" t="n">
        <f aca="false">C11-(C21*(C11*C22+C23))</f>
        <v>49.3</v>
      </c>
      <c r="D27" s="2" t="s">
        <v>34</v>
      </c>
    </row>
    <row r="29" customFormat="false" ht="42" hidden="false" customHeight="true" outlineLevel="0" collapsed="false">
      <c r="B29" s="13" t="s">
        <v>35</v>
      </c>
      <c r="D29" s="14" t="s">
        <v>36</v>
      </c>
    </row>
    <row r="32" customFormat="false" ht="15" hidden="false" customHeight="false" outlineLevel="0" collapsed="false">
      <c r="B32" s="13" t="s">
        <v>37</v>
      </c>
    </row>
    <row r="33" customFormat="false" ht="15" hidden="false" customHeight="false" outlineLevel="0" collapsed="false">
      <c r="B33" s="15" t="s">
        <v>38</v>
      </c>
    </row>
    <row r="34" customFormat="false" ht="15" hidden="false" customHeight="false" outlineLevel="0" collapsed="false">
      <c r="B34" s="16" t="s">
        <v>39</v>
      </c>
    </row>
    <row r="35" customFormat="false" ht="15" hidden="false" customHeight="false" outlineLevel="0" collapsed="false">
      <c r="B35" s="17" t="s">
        <v>40</v>
      </c>
    </row>
    <row r="36" customFormat="false" ht="15" hidden="false" customHeight="false" outlineLevel="0" collapsed="false">
      <c r="B36" s="18" t="s">
        <v>41</v>
      </c>
    </row>
    <row r="38" customFormat="false" ht="15" hidden="false" customHeight="false" outlineLevel="0" collapsed="false">
      <c r="B38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7" min="3" style="0" width="15"/>
  </cols>
  <sheetData>
    <row r="2" customFormat="false" ht="17.35" hidden="false" customHeight="false" outlineLevel="0" collapsed="false">
      <c r="B2" s="1" t="s">
        <v>43</v>
      </c>
    </row>
    <row r="3" customFormat="false" ht="15" hidden="false" customHeight="false" outlineLevel="0" collapsed="false">
      <c r="B3" s="2" t="s">
        <v>44</v>
      </c>
    </row>
    <row r="5" customFormat="false" ht="15" hidden="false" customHeight="false" outlineLevel="0" collapsed="false">
      <c r="B5" s="19" t="s">
        <v>45</v>
      </c>
      <c r="C5" s="19" t="s">
        <v>46</v>
      </c>
      <c r="D5" s="19" t="s">
        <v>47</v>
      </c>
      <c r="E5" s="19" t="s">
        <v>48</v>
      </c>
      <c r="F5" s="19" t="s">
        <v>49</v>
      </c>
      <c r="G5" s="19" t="s">
        <v>50</v>
      </c>
    </row>
    <row r="6" customFormat="false" ht="15" hidden="false" customHeight="false" outlineLevel="0" collapsed="false">
      <c r="B6" s="20" t="s">
        <v>51</v>
      </c>
      <c r="C6" s="21" t="n">
        <v>10</v>
      </c>
      <c r="D6" s="21" t="n">
        <v>3</v>
      </c>
      <c r="E6" s="22" t="n">
        <f aca="false">C6-D6</f>
        <v>7</v>
      </c>
      <c r="F6" s="23" t="n">
        <f aca="false">D6*Assumptions!$C$26</f>
        <v>142.728</v>
      </c>
      <c r="G6" s="23" t="n">
        <f aca="false">E6*Assumptions!$C$27</f>
        <v>345.1</v>
      </c>
    </row>
    <row r="7" customFormat="false" ht="15" hidden="false" customHeight="false" outlineLevel="0" collapsed="false">
      <c r="B7" s="20" t="s">
        <v>52</v>
      </c>
      <c r="C7" s="21" t="n">
        <v>65</v>
      </c>
      <c r="D7" s="21" t="n">
        <v>17</v>
      </c>
      <c r="E7" s="22" t="n">
        <f aca="false">C7-D7</f>
        <v>48</v>
      </c>
      <c r="F7" s="23" t="n">
        <f aca="false">D7*Assumptions!$C$26</f>
        <v>808.792</v>
      </c>
      <c r="G7" s="23" t="n">
        <f aca="false">E7*Assumptions!$C$27</f>
        <v>2366.4</v>
      </c>
    </row>
    <row r="8" customFormat="false" ht="15" hidden="false" customHeight="false" outlineLevel="0" collapsed="false">
      <c r="B8" s="20" t="s">
        <v>53</v>
      </c>
      <c r="C8" s="21" t="n">
        <v>62</v>
      </c>
      <c r="D8" s="21" t="n">
        <v>16</v>
      </c>
      <c r="E8" s="22" t="n">
        <f aca="false">C8-D8</f>
        <v>46</v>
      </c>
      <c r="F8" s="23" t="n">
        <f aca="false">D8*Assumptions!$C$26</f>
        <v>761.216</v>
      </c>
      <c r="G8" s="23" t="n">
        <f aca="false">E8*Assumptions!$C$27</f>
        <v>2267.8</v>
      </c>
    </row>
    <row r="9" customFormat="false" ht="15" hidden="false" customHeight="false" outlineLevel="0" collapsed="false">
      <c r="B9" s="20" t="s">
        <v>54</v>
      </c>
      <c r="C9" s="21" t="n">
        <v>43</v>
      </c>
      <c r="D9" s="21" t="n">
        <v>11</v>
      </c>
      <c r="E9" s="22" t="n">
        <f aca="false">C9-D9</f>
        <v>32</v>
      </c>
      <c r="F9" s="23" t="n">
        <f aca="false">D9*Assumptions!$C$26</f>
        <v>523.336</v>
      </c>
      <c r="G9" s="23" t="n">
        <f aca="false">E9*Assumptions!$C$27</f>
        <v>1577.6</v>
      </c>
    </row>
    <row r="10" customFormat="false" ht="15" hidden="false" customHeight="false" outlineLevel="0" collapsed="false">
      <c r="B10" s="20" t="s">
        <v>55</v>
      </c>
      <c r="C10" s="21" t="n">
        <v>14</v>
      </c>
      <c r="D10" s="21" t="n">
        <v>3</v>
      </c>
      <c r="E10" s="22" t="n">
        <f aca="false">C10-D10</f>
        <v>11</v>
      </c>
      <c r="F10" s="23" t="n">
        <f aca="false">D10*Assumptions!$C$26</f>
        <v>142.728</v>
      </c>
      <c r="G10" s="23" t="n">
        <f aca="false">E10*Assumptions!$C$27</f>
        <v>542.3</v>
      </c>
    </row>
    <row r="11" customFormat="false" ht="15" hidden="false" customHeight="false" outlineLevel="0" collapsed="false">
      <c r="B11" s="13" t="s">
        <v>56</v>
      </c>
      <c r="C11" s="24" t="n">
        <f aca="false">SUM(C6:C10)</f>
        <v>194</v>
      </c>
      <c r="D11" s="24" t="n">
        <f aca="false">SUM(D6:D10)</f>
        <v>50</v>
      </c>
      <c r="E11" s="24" t="n">
        <f aca="false">SUM(E6:E10)</f>
        <v>144</v>
      </c>
      <c r="F11" s="25" t="n">
        <f aca="false">SUM(F6:F10)</f>
        <v>2378.8</v>
      </c>
      <c r="G11" s="25" t="n">
        <f aca="false">SUM(G6:G10)</f>
        <v>7099.2</v>
      </c>
    </row>
    <row r="13" customFormat="false" ht="15" hidden="false" customHeight="false" outlineLevel="0" collapsed="false">
      <c r="B13" s="2" t="s">
        <v>57</v>
      </c>
    </row>
    <row r="14" customFormat="false" ht="15" hidden="false" customHeight="false" outlineLevel="0" collapsed="false">
      <c r="B14" s="13" t="str">
        <f aca="false">IF(D11=50,"OK - caps sum to 50","MISMATCH - caps sum to "&amp;D11&amp;", website says 50")</f>
        <v>OK - caps sum to 50</v>
      </c>
    </row>
    <row r="16" customFormat="false" ht="15" hidden="false" customHeight="false" outlineLevel="0" collapsed="false">
      <c r="B16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56"/>
  </cols>
  <sheetData>
    <row r="2" customFormat="false" ht="17.35" hidden="false" customHeight="false" outlineLevel="0" collapsed="false">
      <c r="B2" s="1" t="s">
        <v>59</v>
      </c>
    </row>
    <row r="4" customFormat="false" ht="15" hidden="false" customHeight="false" outlineLevel="0" collapsed="false">
      <c r="B4" s="3" t="s">
        <v>60</v>
      </c>
      <c r="C4" s="3"/>
      <c r="D4" s="3"/>
    </row>
    <row r="5" customFormat="false" ht="15" hidden="false" customHeight="false" outlineLevel="0" collapsed="false">
      <c r="B5" s="0" t="s">
        <v>61</v>
      </c>
      <c r="C5" s="26" t="n">
        <f aca="false">Assumptions!C26</f>
        <v>47.576</v>
      </c>
    </row>
    <row r="6" customFormat="false" ht="15" hidden="false" customHeight="false" outlineLevel="0" collapsed="false">
      <c r="B6" s="0" t="s">
        <v>62</v>
      </c>
      <c r="C6" s="24" t="n">
        <f aca="false">IF(C5&lt;=0,"never",ROUNDUP(Assumptions!C6/C5,0))</f>
        <v>101</v>
      </c>
      <c r="D6" s="2" t="s">
        <v>63</v>
      </c>
    </row>
    <row r="8" customFormat="false" ht="15" hidden="false" customHeight="false" outlineLevel="0" collapsed="false">
      <c r="B8" s="3" t="s">
        <v>64</v>
      </c>
      <c r="C8" s="3"/>
      <c r="D8" s="3"/>
    </row>
    <row r="9" customFormat="false" ht="15" hidden="false" customHeight="false" outlineLevel="0" collapsed="false">
      <c r="B9" s="0" t="s">
        <v>65</v>
      </c>
      <c r="C9" s="26" t="n">
        <f aca="false">Assumptions!C27</f>
        <v>49.3</v>
      </c>
    </row>
    <row r="10" customFormat="false" ht="15" hidden="false" customHeight="false" outlineLevel="0" collapsed="false">
      <c r="B10" s="0" t="s">
        <v>62</v>
      </c>
      <c r="C10" s="24" t="n">
        <f aca="false">IF(C9&lt;=0,"never",ROUNDUP(Assumptions!C6/C9,0))</f>
        <v>98</v>
      </c>
      <c r="D10" s="2" t="s">
        <v>66</v>
      </c>
    </row>
    <row r="12" customFormat="false" ht="15" hidden="false" customHeight="false" outlineLevel="0" collapsed="false">
      <c r="B12" s="3" t="s">
        <v>67</v>
      </c>
      <c r="C12" s="3"/>
      <c r="D12" s="3"/>
    </row>
    <row r="13" customFormat="false" ht="15" hidden="false" customHeight="false" outlineLevel="0" collapsed="false">
      <c r="B13" s="0" t="s">
        <v>68</v>
      </c>
      <c r="C13" s="27" t="n">
        <f aca="false">Inventory!D11</f>
        <v>50</v>
      </c>
    </row>
    <row r="14" customFormat="false" ht="15" hidden="false" customHeight="false" outlineLevel="0" collapsed="false">
      <c r="B14" s="0" t="s">
        <v>69</v>
      </c>
      <c r="C14" s="28" t="n">
        <f aca="false">C13*C5</f>
        <v>2378.8</v>
      </c>
    </row>
    <row r="15" customFormat="false" ht="15" hidden="false" customHeight="false" outlineLevel="0" collapsed="false">
      <c r="B15" s="0" t="s">
        <v>70</v>
      </c>
      <c r="C15" s="29" t="n">
        <f aca="false">IF(Assumptions!C6=0,0,C14/Assumptions!C6)</f>
        <v>0.495583333333333</v>
      </c>
    </row>
    <row r="16" customFormat="false" ht="15" hidden="false" customHeight="false" outlineLevel="0" collapsed="false">
      <c r="B16" s="0" t="s">
        <v>71</v>
      </c>
      <c r="C16" s="28" t="n">
        <f aca="false">MAX(0,Assumptions!C6-C14)</f>
        <v>2421.2</v>
      </c>
    </row>
    <row r="17" customFormat="false" ht="15" hidden="false" customHeight="false" outlineLevel="0" collapsed="false">
      <c r="B17" s="0" t="s">
        <v>72</v>
      </c>
      <c r="C17" s="24" t="n">
        <f aca="false">IF(C9&lt;=0,"never",ROUNDUP(C16/C9,0))</f>
        <v>50</v>
      </c>
    </row>
    <row r="18" customFormat="false" ht="15" hidden="false" customHeight="false" outlineLevel="0" collapsed="false">
      <c r="B18" s="13" t="s">
        <v>73</v>
      </c>
      <c r="C18" s="30" t="n">
        <f aca="false">C13+C17</f>
        <v>100</v>
      </c>
    </row>
    <row r="19" customFormat="false" ht="15" hidden="false" customHeight="false" outlineLevel="0" collapsed="false">
      <c r="B19" s="0" t="s">
        <v>74</v>
      </c>
      <c r="C19" s="31" t="n">
        <f aca="false">IF(Assumptions!C7=0,0,C18/Assumptions!C7)</f>
        <v>0.515463917525773</v>
      </c>
    </row>
    <row r="21" customFormat="false" ht="15" hidden="false" customHeight="false" outlineLevel="0" collapsed="false">
      <c r="B21" s="3" t="s">
        <v>75</v>
      </c>
      <c r="C21" s="3"/>
      <c r="D21" s="3"/>
    </row>
    <row r="22" customFormat="false" ht="15" hidden="false" customHeight="false" outlineLevel="0" collapsed="false">
      <c r="B22" s="0" t="s">
        <v>76</v>
      </c>
      <c r="C22" s="32" t="n">
        <f aca="false">Inventory!F11</f>
        <v>2378.8</v>
      </c>
    </row>
    <row r="23" customFormat="false" ht="15" hidden="false" customHeight="false" outlineLevel="0" collapsed="false">
      <c r="B23" s="0" t="s">
        <v>77</v>
      </c>
      <c r="C23" s="32" t="n">
        <f aca="false">Inventory!G11</f>
        <v>7099.2</v>
      </c>
    </row>
    <row r="24" customFormat="false" ht="15" hidden="false" customHeight="false" outlineLevel="0" collapsed="false">
      <c r="B24" s="0" t="s">
        <v>78</v>
      </c>
      <c r="C24" s="28" t="n">
        <f aca="false">C22+C23</f>
        <v>9478</v>
      </c>
    </row>
    <row r="25" customFormat="false" ht="15" hidden="false" customHeight="false" outlineLevel="0" collapsed="false">
      <c r="B25" s="0" t="s">
        <v>79</v>
      </c>
      <c r="C25" s="28" t="n">
        <f aca="false">-Assumptions!C6</f>
        <v>-4800</v>
      </c>
    </row>
    <row r="26" customFormat="false" ht="15" hidden="false" customHeight="false" outlineLevel="0" collapsed="false">
      <c r="B26" s="13" t="s">
        <v>80</v>
      </c>
      <c r="C26" s="33" t="n">
        <f aca="false">C24+C25</f>
        <v>4678</v>
      </c>
    </row>
    <row r="27" customFormat="false" ht="15" hidden="false" customHeight="false" outlineLevel="0" collapsed="false">
      <c r="B27" s="0" t="s">
        <v>81</v>
      </c>
      <c r="C27" s="34" t="n">
        <f aca="false">IF(Assumptions!C6=0,0,C24/Assumptions!C6)</f>
        <v>1.97458333333333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8" min="3" style="0" width="15"/>
    <col collapsed="false" customWidth="true" hidden="false" outlineLevel="0" max="9" min="9" style="0" width="40"/>
  </cols>
  <sheetData>
    <row r="2" customFormat="false" ht="17.35" hidden="false" customHeight="false" outlineLevel="0" collapsed="false">
      <c r="B2" s="1" t="s">
        <v>82</v>
      </c>
    </row>
    <row r="3" customFormat="false" ht="15" hidden="false" customHeight="false" outlineLevel="0" collapsed="false">
      <c r="B3" s="2" t="s">
        <v>83</v>
      </c>
    </row>
    <row r="5" customFormat="false" ht="30" hidden="false" customHeight="true" outlineLevel="0" collapsed="false">
      <c r="B5" s="35" t="s">
        <v>45</v>
      </c>
      <c r="C5" s="35" t="s">
        <v>47</v>
      </c>
      <c r="D5" s="35" t="s">
        <v>84</v>
      </c>
      <c r="E5" s="35" t="s">
        <v>85</v>
      </c>
      <c r="F5" s="35" t="s">
        <v>86</v>
      </c>
      <c r="G5" s="35" t="s">
        <v>87</v>
      </c>
      <c r="H5" s="35" t="s">
        <v>88</v>
      </c>
    </row>
    <row r="6" customFormat="false" ht="15" hidden="false" customHeight="false" outlineLevel="0" collapsed="false">
      <c r="B6" s="20" t="s">
        <v>51</v>
      </c>
      <c r="C6" s="36" t="n">
        <f aca="false">Inventory!D6</f>
        <v>3</v>
      </c>
      <c r="D6" s="37" t="n">
        <v>0</v>
      </c>
      <c r="E6" s="37" t="n">
        <v>0</v>
      </c>
      <c r="F6" s="22" t="n">
        <f aca="false">MAX(0,C6-D6)</f>
        <v>3</v>
      </c>
      <c r="G6" s="22" t="n">
        <f aca="false">D6+E6</f>
        <v>0</v>
      </c>
      <c r="H6" s="23" t="n">
        <f aca="false">D6*Assumptions!$C$26+E6*Assumptions!$C$27</f>
        <v>0</v>
      </c>
    </row>
    <row r="7" customFormat="false" ht="15" hidden="false" customHeight="false" outlineLevel="0" collapsed="false">
      <c r="B7" s="20" t="s">
        <v>52</v>
      </c>
      <c r="C7" s="36" t="n">
        <f aca="false">Inventory!D7</f>
        <v>17</v>
      </c>
      <c r="D7" s="37" t="n">
        <v>0</v>
      </c>
      <c r="E7" s="37" t="n">
        <v>0</v>
      </c>
      <c r="F7" s="22" t="n">
        <f aca="false">MAX(0,C7-D7)</f>
        <v>17</v>
      </c>
      <c r="G7" s="22" t="n">
        <f aca="false">D7+E7</f>
        <v>0</v>
      </c>
      <c r="H7" s="23" t="n">
        <f aca="false">D7*Assumptions!$C$26+E7*Assumptions!$C$27</f>
        <v>0</v>
      </c>
    </row>
    <row r="8" customFormat="false" ht="15" hidden="false" customHeight="false" outlineLevel="0" collapsed="false">
      <c r="B8" s="20" t="s">
        <v>53</v>
      </c>
      <c r="C8" s="36" t="n">
        <f aca="false">Inventory!D8</f>
        <v>16</v>
      </c>
      <c r="D8" s="37" t="n">
        <v>0</v>
      </c>
      <c r="E8" s="37" t="n">
        <v>0</v>
      </c>
      <c r="F8" s="22" t="n">
        <f aca="false">MAX(0,C8-D8)</f>
        <v>16</v>
      </c>
      <c r="G8" s="22" t="n">
        <f aca="false">D8+E8</f>
        <v>0</v>
      </c>
      <c r="H8" s="23" t="n">
        <f aca="false">D8*Assumptions!$C$26+E8*Assumptions!$C$27</f>
        <v>0</v>
      </c>
    </row>
    <row r="9" customFormat="false" ht="15" hidden="false" customHeight="false" outlineLevel="0" collapsed="false">
      <c r="B9" s="20" t="s">
        <v>54</v>
      </c>
      <c r="C9" s="36" t="n">
        <f aca="false">Inventory!D9</f>
        <v>11</v>
      </c>
      <c r="D9" s="37" t="n">
        <v>0</v>
      </c>
      <c r="E9" s="37" t="n">
        <v>0</v>
      </c>
      <c r="F9" s="22" t="n">
        <f aca="false">MAX(0,C9-D9)</f>
        <v>11</v>
      </c>
      <c r="G9" s="22" t="n">
        <f aca="false">D9+E9</f>
        <v>0</v>
      </c>
      <c r="H9" s="23" t="n">
        <f aca="false">D9*Assumptions!$C$26+E9*Assumptions!$C$27</f>
        <v>0</v>
      </c>
    </row>
    <row r="10" customFormat="false" ht="15" hidden="false" customHeight="false" outlineLevel="0" collapsed="false">
      <c r="B10" s="20" t="s">
        <v>55</v>
      </c>
      <c r="C10" s="36" t="n">
        <f aca="false">Inventory!D10</f>
        <v>3</v>
      </c>
      <c r="D10" s="37" t="n">
        <v>0</v>
      </c>
      <c r="E10" s="37" t="n">
        <v>0</v>
      </c>
      <c r="F10" s="22" t="n">
        <f aca="false">MAX(0,C10-D10)</f>
        <v>3</v>
      </c>
      <c r="G10" s="22" t="n">
        <f aca="false">D10+E10</f>
        <v>0</v>
      </c>
      <c r="H10" s="23" t="n">
        <f aca="false">D10*Assumptions!$C$26+E10*Assumptions!$C$27</f>
        <v>0</v>
      </c>
    </row>
    <row r="11" customFormat="false" ht="15" hidden="false" customHeight="false" outlineLevel="0" collapsed="false">
      <c r="B11" s="13" t="s">
        <v>56</v>
      </c>
      <c r="C11" s="24" t="n">
        <f aca="false">SUM(C6:C10)</f>
        <v>50</v>
      </c>
      <c r="D11" s="24" t="n">
        <f aca="false">SUM(D6:D10)</f>
        <v>0</v>
      </c>
      <c r="E11" s="24" t="n">
        <f aca="false">SUM(E6:E10)</f>
        <v>0</v>
      </c>
      <c r="F11" s="24" t="n">
        <f aca="false">SUM(F6:F10)</f>
        <v>50</v>
      </c>
      <c r="G11" s="24" t="n">
        <f aca="false">SUM(G6:G10)</f>
        <v>0</v>
      </c>
      <c r="H11" s="25" t="n">
        <f aca="false">SUM(H6:H10)</f>
        <v>0</v>
      </c>
    </row>
    <row r="13" customFormat="false" ht="15" hidden="false" customHeight="false" outlineLevel="0" collapsed="false">
      <c r="B13" s="13" t="s">
        <v>89</v>
      </c>
      <c r="C13" s="38" t="n">
        <f aca="false">IF(Assumptions!C6=0,0,H11/Assumptions!C6)</f>
        <v>0</v>
      </c>
      <c r="I13" s="2" t="s">
        <v>90</v>
      </c>
    </row>
    <row r="14" customFormat="false" ht="15" hidden="false" customHeight="false" outlineLevel="0" collapsed="false">
      <c r="B14" s="13" t="s">
        <v>91</v>
      </c>
      <c r="C14" s="39" t="n">
        <f aca="false">MAX(0,Assumptions!C6-H11)</f>
        <v>4800</v>
      </c>
    </row>
    <row r="15" customFormat="false" ht="15" hidden="false" customHeight="false" outlineLevel="0" collapsed="false">
      <c r="B15" s="13" t="s">
        <v>92</v>
      </c>
      <c r="C15" s="33" t="n">
        <f aca="false">H11-Assumptions!C6</f>
        <v>-4800</v>
      </c>
      <c r="I15" s="2" t="s">
        <v>93</v>
      </c>
    </row>
    <row r="17" customFormat="false" ht="15" hidden="false" customHeight="false" outlineLevel="0" collapsed="false">
      <c r="B17" s="13" t="s">
        <v>94</v>
      </c>
      <c r="C17" s="13" t="str">
        <f aca="false">IF(H11&gt;=Assumptions!C6,"PAID OFF - every shirt from here is profit","Need "&amp;ROUNDUP(C14/Assumptions!C27,0)&amp;" more show sales to break even")</f>
        <v>Need 98 more show sales to break even</v>
      </c>
    </row>
    <row r="19" customFormat="false" ht="15" hidden="false" customHeight="false" outlineLevel="0" collapsed="false">
      <c r="B19" s="2" t="s">
        <v>95</v>
      </c>
    </row>
    <row r="20" customFormat="false" ht="15" hidden="false" customHeight="false" outlineLevel="0" collapsed="false">
      <c r="B20" s="40" t="s">
        <v>53</v>
      </c>
      <c r="C20" s="40" t="n">
        <v>16</v>
      </c>
      <c r="D20" s="40" t="n">
        <v>9</v>
      </c>
      <c r="E20" s="40" t="n">
        <v>0</v>
      </c>
      <c r="F20" s="40" t="n">
        <v>7</v>
      </c>
      <c r="G20" s="40" t="n">
        <v>9</v>
      </c>
      <c r="H20" s="41" t="n">
        <f aca="false">D20*Assumptions!$C$26+E20*Assumptions!$C$27</f>
        <v>428.184</v>
      </c>
      <c r="I20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2026-08-30T03:58:44Z</dcterms:created>
  <dc:creator>openpyxl</dc:creator>
  <dc:description/>
  <dc:language>en-US</dc:language>
  <cp:lastModifiedBy/>
  <dcterms:modified xsi:type="dcterms:W3CDTF">2026-08-30T03:59:12Z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